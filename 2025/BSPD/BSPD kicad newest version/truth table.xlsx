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BYU Racing\BSPD\"/>
    </mc:Choice>
  </mc:AlternateContent>
  <xr:revisionPtr revIDLastSave="0" documentId="13_ncr:1_{36F6CD5D-778B-4262-AF23-4A4F06A545A9}" xr6:coauthVersionLast="47" xr6:coauthVersionMax="47" xr10:uidLastSave="{00000000-0000-0000-0000-000000000000}"/>
  <bookViews>
    <workbookView xWindow="-96" yWindow="0" windowWidth="14316" windowHeight="12336" xr2:uid="{19BDC74D-1B05-417B-ABB0-020C8392F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L17" i="1" s="1"/>
  <c r="K18" i="1"/>
  <c r="L18" i="1" s="1"/>
  <c r="K19" i="1"/>
  <c r="L19" i="1" s="1"/>
  <c r="K20" i="1"/>
  <c r="K21" i="1"/>
  <c r="K22" i="1"/>
  <c r="K23" i="1"/>
  <c r="K24" i="1"/>
  <c r="K25" i="1"/>
  <c r="K26" i="1"/>
  <c r="K2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3" i="1"/>
  <c r="I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0" i="1"/>
  <c r="L21" i="1"/>
  <c r="L22" i="1"/>
  <c r="L23" i="1"/>
  <c r="L24" i="1"/>
  <c r="L25" i="1"/>
  <c r="L26" i="1"/>
  <c r="L27" i="1"/>
  <c r="I8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L3" i="1" l="1"/>
</calcChain>
</file>

<file path=xl/sharedStrings.xml><?xml version="1.0" encoding="utf-8"?>
<sst xmlns="http://schemas.openxmlformats.org/spreadsheetml/2006/main" count="64" uniqueCount="20">
  <si>
    <t xml:space="preserve">Truth Table BSPD </t>
  </si>
  <si>
    <t xml:space="preserve">ORA output </t>
  </si>
  <si>
    <t>ORC output</t>
  </si>
  <si>
    <t>Current Sensor (V)</t>
  </si>
  <si>
    <t>Brake Pressure Sensor (V)</t>
  </si>
  <si>
    <t>X &lt; 0.1</t>
  </si>
  <si>
    <t xml:space="preserve">X &lt; 0.1 </t>
  </si>
  <si>
    <t>0.1 &lt; X &lt; 4</t>
  </si>
  <si>
    <t>9 &lt; X</t>
  </si>
  <si>
    <t>current sensor short circuit (COMP1A)</t>
  </si>
  <si>
    <t>current sensor open circuit (COMP1B)</t>
  </si>
  <si>
    <t>current sensor 5kW   (COMP2A)</t>
  </si>
  <si>
    <t>5.1 &lt; X &lt; 9</t>
  </si>
  <si>
    <t>4 &lt; X &lt; 5.1</t>
  </si>
  <si>
    <t>Shutdown Circuit (ANDA output)</t>
  </si>
  <si>
    <t>brake sensor hard braking (COMP2B</t>
  </si>
  <si>
    <t>brake sensor short circuit (COMP3B)</t>
  </si>
  <si>
    <t>brake sensor open circuit (COMP3A)</t>
  </si>
  <si>
    <t>NORA output (also called R1_OUT)</t>
  </si>
  <si>
    <t>ORB output (also called R2_OUT)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</si>
</sst>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indexed="64"/>
      </right>
      <top style="mediumDashed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Dashed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0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1CAA-A12B-4095-853A-F5C0EF4E0F00}">
  <dimension ref="A1:S49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N20" sqref="N20"/>
    </sheetView>
  </sheetViews>
  <sheetFormatPr defaultColWidth="14.77734375" defaultRowHeight="14.4" x14ac:dyDescent="0.3"/>
  <cols>
    <col min="1" max="1" width="12.109375" customWidth="1"/>
    <col min="2" max="2" width="12" customWidth="1"/>
    <col min="3" max="3" width="14.77734375" style="2"/>
  </cols>
  <sheetData>
    <row r="1" spans="1:19" ht="34.200000000000003" thickBot="1" x14ac:dyDescent="0.7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  <c r="N1" s="2"/>
    </row>
    <row r="2" spans="1:19" s="6" customFormat="1" ht="54" customHeight="1" x14ac:dyDescent="0.3">
      <c r="A2" s="13" t="s">
        <v>3</v>
      </c>
      <c r="B2" s="13" t="s">
        <v>4</v>
      </c>
      <c r="C2" s="14" t="s">
        <v>9</v>
      </c>
      <c r="D2" s="13" t="s">
        <v>10</v>
      </c>
      <c r="E2" s="13" t="s">
        <v>11</v>
      </c>
      <c r="F2" s="13" t="s">
        <v>15</v>
      </c>
      <c r="G2" s="13" t="s">
        <v>17</v>
      </c>
      <c r="H2" s="13" t="s">
        <v>16</v>
      </c>
      <c r="I2" s="13" t="s">
        <v>1</v>
      </c>
      <c r="J2" s="13" t="s">
        <v>19</v>
      </c>
      <c r="K2" s="15" t="s">
        <v>2</v>
      </c>
      <c r="L2" s="13" t="s">
        <v>18</v>
      </c>
      <c r="M2" s="16" t="s">
        <v>14</v>
      </c>
      <c r="N2" s="18"/>
    </row>
    <row r="3" spans="1:19" s="1" customFormat="1" x14ac:dyDescent="0.3">
      <c r="A3" s="1" t="s">
        <v>5</v>
      </c>
      <c r="B3" s="1" t="s">
        <v>5</v>
      </c>
      <c r="C3" s="8">
        <v>1</v>
      </c>
      <c r="D3" s="1">
        <v>0</v>
      </c>
      <c r="E3" s="1">
        <v>1</v>
      </c>
      <c r="F3" s="1">
        <v>0</v>
      </c>
      <c r="G3" s="1">
        <v>0</v>
      </c>
      <c r="H3" s="1">
        <v>1</v>
      </c>
      <c r="I3" s="1">
        <f>--OR(C3,D3)</f>
        <v>1</v>
      </c>
      <c r="J3" s="1">
        <f>--OR(E3,F3)</f>
        <v>1</v>
      </c>
      <c r="K3" s="1">
        <f>--OR(G3,H3)</f>
        <v>1</v>
      </c>
      <c r="L3" s="1">
        <f>IF(OR(I3,K3),0,1)</f>
        <v>0</v>
      </c>
      <c r="M3" s="1">
        <f>--AND(L3,J3)</f>
        <v>0</v>
      </c>
      <c r="N3" s="8"/>
      <c r="O3" s="19"/>
      <c r="P3" s="19"/>
      <c r="Q3" s="19"/>
      <c r="R3" s="19"/>
      <c r="S3" s="19"/>
    </row>
    <row r="4" spans="1:19" s="1" customFormat="1" x14ac:dyDescent="0.3">
      <c r="A4" s="1" t="s">
        <v>6</v>
      </c>
      <c r="B4" s="1" t="s">
        <v>7</v>
      </c>
      <c r="C4" s="8">
        <v>1</v>
      </c>
      <c r="D4" s="1">
        <v>0</v>
      </c>
      <c r="E4" s="1">
        <v>1</v>
      </c>
      <c r="F4" s="1">
        <v>0</v>
      </c>
      <c r="G4" s="1">
        <v>0</v>
      </c>
      <c r="H4" s="17">
        <v>0</v>
      </c>
      <c r="I4" s="1">
        <f t="shared" ref="I4:I27" si="0">--OR(C4,D4)</f>
        <v>1</v>
      </c>
      <c r="J4" s="1">
        <f t="shared" ref="J4:J27" si="1">--OR(E4,F4)</f>
        <v>1</v>
      </c>
      <c r="K4" s="1">
        <f t="shared" ref="K4:K27" si="2">--OR(G4,H4)</f>
        <v>0</v>
      </c>
      <c r="L4" s="1">
        <f t="shared" ref="L4:L27" si="3">IF(OR(I4,K4),0,1)</f>
        <v>0</v>
      </c>
      <c r="M4" s="1">
        <f t="shared" ref="M4:M27" si="4">--AND(L4,J4)</f>
        <v>0</v>
      </c>
      <c r="N4" s="8"/>
      <c r="O4" s="19"/>
      <c r="P4" s="19"/>
      <c r="Q4" s="19"/>
      <c r="R4" s="19"/>
      <c r="S4" s="19"/>
    </row>
    <row r="5" spans="1:19" s="1" customFormat="1" x14ac:dyDescent="0.3">
      <c r="A5" s="1" t="s">
        <v>5</v>
      </c>
      <c r="B5" s="1" t="s">
        <v>13</v>
      </c>
      <c r="C5" s="8">
        <v>1</v>
      </c>
      <c r="D5" s="1">
        <v>0</v>
      </c>
      <c r="E5" s="1">
        <v>1</v>
      </c>
      <c r="F5" s="1">
        <v>1</v>
      </c>
      <c r="G5" s="17">
        <v>0</v>
      </c>
      <c r="H5" s="1">
        <v>0</v>
      </c>
      <c r="I5" s="1">
        <f t="shared" si="0"/>
        <v>1</v>
      </c>
      <c r="J5" s="1">
        <f t="shared" si="1"/>
        <v>1</v>
      </c>
      <c r="K5" s="1">
        <f t="shared" si="2"/>
        <v>0</v>
      </c>
      <c r="L5" s="1">
        <f t="shared" si="3"/>
        <v>0</v>
      </c>
      <c r="M5" s="1">
        <f t="shared" si="4"/>
        <v>0</v>
      </c>
      <c r="N5" s="8"/>
      <c r="O5" s="19"/>
      <c r="P5" s="19"/>
      <c r="Q5" s="19"/>
      <c r="R5" s="19"/>
      <c r="S5" s="19"/>
    </row>
    <row r="6" spans="1:19" s="1" customFormat="1" x14ac:dyDescent="0.3">
      <c r="A6" s="1" t="s">
        <v>5</v>
      </c>
      <c r="B6" s="1" t="s">
        <v>12</v>
      </c>
      <c r="C6" s="8">
        <v>1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f t="shared" si="0"/>
        <v>1</v>
      </c>
      <c r="J6" s="1">
        <f t="shared" si="1"/>
        <v>1</v>
      </c>
      <c r="K6" s="1">
        <f t="shared" si="2"/>
        <v>0</v>
      </c>
      <c r="L6" s="1">
        <f t="shared" si="3"/>
        <v>0</v>
      </c>
      <c r="M6" s="1">
        <f t="shared" si="4"/>
        <v>0</v>
      </c>
      <c r="N6" s="8"/>
      <c r="O6" s="19"/>
      <c r="P6" s="19"/>
      <c r="Q6" s="19"/>
      <c r="R6" s="19"/>
      <c r="S6" s="19"/>
    </row>
    <row r="7" spans="1:19" s="1" customFormat="1" ht="15" thickBot="1" x14ac:dyDescent="0.35">
      <c r="A7" s="1" t="s">
        <v>5</v>
      </c>
      <c r="B7" s="1" t="s">
        <v>8</v>
      </c>
      <c r="C7" s="8">
        <v>1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20">
        <f t="shared" si="0"/>
        <v>1</v>
      </c>
      <c r="J7" s="20">
        <f t="shared" si="1"/>
        <v>1</v>
      </c>
      <c r="K7" s="20">
        <f t="shared" si="2"/>
        <v>1</v>
      </c>
      <c r="L7" s="20">
        <f t="shared" si="3"/>
        <v>0</v>
      </c>
      <c r="M7" s="23">
        <f t="shared" si="4"/>
        <v>0</v>
      </c>
      <c r="N7" s="8"/>
      <c r="O7" s="19"/>
      <c r="P7" s="19"/>
      <c r="Q7" s="19"/>
      <c r="R7" s="19"/>
      <c r="S7" s="19"/>
    </row>
    <row r="8" spans="1:19" s="9" customFormat="1" x14ac:dyDescent="0.3">
      <c r="A8" s="9" t="s">
        <v>7</v>
      </c>
      <c r="B8" s="9" t="s">
        <v>5</v>
      </c>
      <c r="C8" s="10">
        <v>0</v>
      </c>
      <c r="D8" s="9">
        <v>0</v>
      </c>
      <c r="E8" s="9">
        <v>1</v>
      </c>
      <c r="F8" s="9">
        <v>0</v>
      </c>
      <c r="G8" s="9">
        <v>0</v>
      </c>
      <c r="H8" s="9">
        <v>1</v>
      </c>
      <c r="I8" s="1">
        <f>--OR(C8,D8)</f>
        <v>0</v>
      </c>
      <c r="J8" s="1">
        <f t="shared" si="1"/>
        <v>1</v>
      </c>
      <c r="K8" s="1">
        <f t="shared" si="2"/>
        <v>1</v>
      </c>
      <c r="L8" s="1">
        <f t="shared" si="3"/>
        <v>0</v>
      </c>
      <c r="M8" s="1">
        <f t="shared" si="4"/>
        <v>0</v>
      </c>
      <c r="N8" s="8"/>
      <c r="O8" s="19"/>
      <c r="P8" s="19"/>
      <c r="Q8" s="19"/>
      <c r="R8" s="19"/>
      <c r="S8" s="19"/>
    </row>
    <row r="9" spans="1:19" s="1" customFormat="1" x14ac:dyDescent="0.3">
      <c r="A9" s="1" t="s">
        <v>7</v>
      </c>
      <c r="B9" s="1" t="s">
        <v>7</v>
      </c>
      <c r="C9" s="8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f t="shared" si="0"/>
        <v>0</v>
      </c>
      <c r="J9" s="1">
        <f t="shared" si="1"/>
        <v>1</v>
      </c>
      <c r="K9" s="1">
        <f t="shared" si="2"/>
        <v>0</v>
      </c>
      <c r="L9" s="1">
        <f t="shared" si="3"/>
        <v>1</v>
      </c>
      <c r="M9" s="1">
        <f t="shared" si="4"/>
        <v>1</v>
      </c>
      <c r="N9" s="8"/>
      <c r="O9" s="19"/>
      <c r="P9" s="19"/>
      <c r="Q9" s="19"/>
      <c r="R9" s="19"/>
      <c r="S9" s="19"/>
    </row>
    <row r="10" spans="1:19" s="1" customFormat="1" x14ac:dyDescent="0.3">
      <c r="A10" s="1" t="s">
        <v>7</v>
      </c>
      <c r="B10" s="1" t="s">
        <v>13</v>
      </c>
      <c r="C10" s="8">
        <v>0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f t="shared" si="0"/>
        <v>0</v>
      </c>
      <c r="J10" s="1">
        <f t="shared" si="1"/>
        <v>1</v>
      </c>
      <c r="K10" s="1">
        <f t="shared" si="2"/>
        <v>0</v>
      </c>
      <c r="L10" s="1">
        <f t="shared" si="3"/>
        <v>1</v>
      </c>
      <c r="M10" s="1">
        <f t="shared" si="4"/>
        <v>1</v>
      </c>
      <c r="N10" s="8"/>
      <c r="O10" s="19"/>
      <c r="P10" s="19"/>
      <c r="Q10" s="19"/>
      <c r="R10" s="19"/>
      <c r="S10" s="19"/>
    </row>
    <row r="11" spans="1:19" s="1" customFormat="1" x14ac:dyDescent="0.3">
      <c r="A11" s="1" t="s">
        <v>7</v>
      </c>
      <c r="B11" s="1" t="s">
        <v>12</v>
      </c>
      <c r="C11" s="8">
        <v>0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f t="shared" si="0"/>
        <v>0</v>
      </c>
      <c r="J11" s="1">
        <f t="shared" si="1"/>
        <v>1</v>
      </c>
      <c r="K11" s="1">
        <f t="shared" si="2"/>
        <v>0</v>
      </c>
      <c r="L11" s="1">
        <f t="shared" si="3"/>
        <v>1</v>
      </c>
      <c r="M11" s="1">
        <f t="shared" si="4"/>
        <v>1</v>
      </c>
      <c r="N11" s="8"/>
      <c r="O11" s="19"/>
      <c r="P11" s="19"/>
      <c r="Q11" s="19"/>
      <c r="R11" s="19"/>
      <c r="S11" s="19"/>
    </row>
    <row r="12" spans="1:19" s="1" customFormat="1" ht="15" thickBot="1" x14ac:dyDescent="0.35">
      <c r="A12" s="1" t="s">
        <v>7</v>
      </c>
      <c r="B12" s="1" t="s">
        <v>8</v>
      </c>
      <c r="C12" s="8">
        <v>0</v>
      </c>
      <c r="D12" s="1">
        <v>0</v>
      </c>
      <c r="E12" s="1">
        <v>1</v>
      </c>
      <c r="F12" s="1">
        <v>1</v>
      </c>
      <c r="G12" s="1">
        <v>1</v>
      </c>
      <c r="H12" s="1">
        <v>0</v>
      </c>
      <c r="I12" s="20">
        <f t="shared" si="0"/>
        <v>0</v>
      </c>
      <c r="J12" s="20">
        <f t="shared" si="1"/>
        <v>1</v>
      </c>
      <c r="K12" s="20">
        <f t="shared" si="2"/>
        <v>1</v>
      </c>
      <c r="L12" s="20">
        <f t="shared" si="3"/>
        <v>0</v>
      </c>
      <c r="M12" s="23">
        <f t="shared" si="4"/>
        <v>0</v>
      </c>
      <c r="N12" s="8"/>
      <c r="O12" s="19"/>
      <c r="P12" s="19"/>
      <c r="Q12" s="19"/>
      <c r="R12" s="19"/>
      <c r="S12" s="19"/>
    </row>
    <row r="13" spans="1:19" s="9" customFormat="1" x14ac:dyDescent="0.3">
      <c r="A13" s="9" t="s">
        <v>13</v>
      </c>
      <c r="B13" s="9" t="s">
        <v>5</v>
      </c>
      <c r="C13" s="10">
        <v>0</v>
      </c>
      <c r="D13" s="9">
        <v>0</v>
      </c>
      <c r="E13" s="9">
        <v>1</v>
      </c>
      <c r="F13" s="9">
        <v>0</v>
      </c>
      <c r="G13" s="9">
        <v>0</v>
      </c>
      <c r="H13" s="9">
        <v>1</v>
      </c>
      <c r="I13" s="1">
        <f t="shared" si="0"/>
        <v>0</v>
      </c>
      <c r="J13" s="1">
        <f t="shared" si="1"/>
        <v>1</v>
      </c>
      <c r="K13" s="1">
        <f t="shared" si="2"/>
        <v>1</v>
      </c>
      <c r="L13" s="1">
        <f t="shared" si="3"/>
        <v>0</v>
      </c>
      <c r="M13" s="1">
        <f t="shared" si="4"/>
        <v>0</v>
      </c>
      <c r="N13" s="8"/>
      <c r="O13" s="19"/>
      <c r="P13" s="19"/>
      <c r="Q13" s="19"/>
      <c r="R13" s="19"/>
      <c r="S13" s="19"/>
    </row>
    <row r="14" spans="1:19" s="1" customFormat="1" x14ac:dyDescent="0.3">
      <c r="A14" s="1" t="s">
        <v>13</v>
      </c>
      <c r="B14" s="1" t="s">
        <v>7</v>
      </c>
      <c r="C14" s="8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f t="shared" si="0"/>
        <v>0</v>
      </c>
      <c r="J14" s="1">
        <f t="shared" si="1"/>
        <v>1</v>
      </c>
      <c r="K14" s="1">
        <f t="shared" si="2"/>
        <v>0</v>
      </c>
      <c r="L14" s="1">
        <f t="shared" si="3"/>
        <v>1</v>
      </c>
      <c r="M14" s="1">
        <f t="shared" si="4"/>
        <v>1</v>
      </c>
      <c r="N14" s="8"/>
      <c r="O14" s="19"/>
      <c r="P14" s="19"/>
      <c r="Q14" s="19"/>
      <c r="R14" s="19"/>
      <c r="S14" s="19"/>
    </row>
    <row r="15" spans="1:19" s="1" customFormat="1" x14ac:dyDescent="0.3">
      <c r="A15" s="1" t="s">
        <v>13</v>
      </c>
      <c r="B15" s="1" t="s">
        <v>13</v>
      </c>
      <c r="C15" s="8">
        <v>0</v>
      </c>
      <c r="D15" s="1">
        <v>0</v>
      </c>
      <c r="E15" s="1">
        <v>1</v>
      </c>
      <c r="F15" s="1">
        <v>1</v>
      </c>
      <c r="G15" s="1">
        <v>0</v>
      </c>
      <c r="H15" s="1">
        <v>0</v>
      </c>
      <c r="I15" s="1">
        <f t="shared" si="0"/>
        <v>0</v>
      </c>
      <c r="J15" s="1">
        <f t="shared" si="1"/>
        <v>1</v>
      </c>
      <c r="K15" s="1">
        <f t="shared" si="2"/>
        <v>0</v>
      </c>
      <c r="L15" s="1">
        <f t="shared" si="3"/>
        <v>1</v>
      </c>
      <c r="M15" s="1">
        <f t="shared" si="4"/>
        <v>1</v>
      </c>
      <c r="N15" s="8"/>
      <c r="O15" s="19"/>
      <c r="P15" s="19"/>
      <c r="Q15" s="19"/>
      <c r="R15" s="19"/>
      <c r="S15" s="19"/>
    </row>
    <row r="16" spans="1:19" s="1" customFormat="1" x14ac:dyDescent="0.3">
      <c r="A16" s="1" t="s">
        <v>13</v>
      </c>
      <c r="B16" s="1" t="s">
        <v>12</v>
      </c>
      <c r="C16" s="8">
        <v>0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f t="shared" si="0"/>
        <v>0</v>
      </c>
      <c r="J16" s="1">
        <f t="shared" si="1"/>
        <v>1</v>
      </c>
      <c r="K16" s="1">
        <f t="shared" si="2"/>
        <v>0</v>
      </c>
      <c r="L16" s="1">
        <f t="shared" si="3"/>
        <v>1</v>
      </c>
      <c r="M16" s="1">
        <f t="shared" si="4"/>
        <v>1</v>
      </c>
      <c r="N16" s="8"/>
      <c r="O16" s="19"/>
      <c r="P16" s="19"/>
      <c r="Q16" s="19"/>
      <c r="R16" s="19"/>
      <c r="S16" s="19"/>
    </row>
    <row r="17" spans="1:19" s="1" customFormat="1" ht="15" thickBot="1" x14ac:dyDescent="0.35">
      <c r="A17" s="1" t="s">
        <v>13</v>
      </c>
      <c r="B17" s="1" t="s">
        <v>8</v>
      </c>
      <c r="C17" s="8">
        <v>0</v>
      </c>
      <c r="D17" s="1">
        <v>0</v>
      </c>
      <c r="E17" s="1">
        <v>1</v>
      </c>
      <c r="F17" s="1">
        <v>1</v>
      </c>
      <c r="G17" s="1">
        <v>1</v>
      </c>
      <c r="H17" s="1">
        <v>0</v>
      </c>
      <c r="I17" s="20">
        <f t="shared" si="0"/>
        <v>0</v>
      </c>
      <c r="J17" s="20">
        <f t="shared" si="1"/>
        <v>1</v>
      </c>
      <c r="K17" s="20">
        <f t="shared" si="2"/>
        <v>1</v>
      </c>
      <c r="L17" s="20">
        <f t="shared" si="3"/>
        <v>0</v>
      </c>
      <c r="M17" s="23">
        <f t="shared" si="4"/>
        <v>0</v>
      </c>
      <c r="N17" s="8"/>
      <c r="O17" s="19"/>
      <c r="P17" s="19"/>
      <c r="Q17" s="19"/>
      <c r="R17" s="19"/>
      <c r="S17" s="19"/>
    </row>
    <row r="18" spans="1:19" s="9" customFormat="1" x14ac:dyDescent="0.3">
      <c r="A18" s="9" t="s">
        <v>12</v>
      </c>
      <c r="B18" s="9" t="s">
        <v>5</v>
      </c>
      <c r="C18" s="10">
        <v>0</v>
      </c>
      <c r="D18" s="9">
        <v>0</v>
      </c>
      <c r="E18" s="9">
        <v>0</v>
      </c>
      <c r="F18" s="9">
        <v>0</v>
      </c>
      <c r="G18" s="9">
        <v>0</v>
      </c>
      <c r="H18" s="9">
        <v>1</v>
      </c>
      <c r="I18" s="1">
        <f t="shared" si="0"/>
        <v>0</v>
      </c>
      <c r="J18" s="1">
        <f t="shared" si="1"/>
        <v>0</v>
      </c>
      <c r="K18" s="1">
        <f t="shared" si="2"/>
        <v>1</v>
      </c>
      <c r="L18" s="1">
        <f t="shared" si="3"/>
        <v>0</v>
      </c>
      <c r="M18" s="1">
        <f t="shared" si="4"/>
        <v>0</v>
      </c>
      <c r="N18" s="8"/>
      <c r="O18" s="19"/>
      <c r="P18" s="19"/>
      <c r="Q18" s="19"/>
      <c r="R18" s="19"/>
      <c r="S18" s="19"/>
    </row>
    <row r="19" spans="1:19" s="1" customFormat="1" x14ac:dyDescent="0.3">
      <c r="A19" s="1" t="s">
        <v>12</v>
      </c>
      <c r="B19" s="1" t="s">
        <v>7</v>
      </c>
      <c r="C19" s="8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f t="shared" si="0"/>
        <v>0</v>
      </c>
      <c r="J19" s="1">
        <f t="shared" si="1"/>
        <v>0</v>
      </c>
      <c r="K19" s="1">
        <f t="shared" si="2"/>
        <v>0</v>
      </c>
      <c r="L19" s="1">
        <f t="shared" si="3"/>
        <v>1</v>
      </c>
      <c r="M19" s="1">
        <f t="shared" si="4"/>
        <v>0</v>
      </c>
      <c r="N19" s="8"/>
    </row>
    <row r="20" spans="1:19" s="1" customFormat="1" x14ac:dyDescent="0.3">
      <c r="A20" s="1" t="s">
        <v>12</v>
      </c>
      <c r="B20" s="1" t="s">
        <v>13</v>
      </c>
      <c r="C20" s="8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f t="shared" si="0"/>
        <v>0</v>
      </c>
      <c r="J20" s="1">
        <f t="shared" si="1"/>
        <v>1</v>
      </c>
      <c r="K20" s="1">
        <f t="shared" si="2"/>
        <v>0</v>
      </c>
      <c r="L20" s="1">
        <f t="shared" si="3"/>
        <v>1</v>
      </c>
      <c r="M20" s="1">
        <f t="shared" si="4"/>
        <v>1</v>
      </c>
      <c r="N20" s="8"/>
    </row>
    <row r="21" spans="1:19" s="1" customFormat="1" x14ac:dyDescent="0.3">
      <c r="A21" s="1" t="s">
        <v>12</v>
      </c>
      <c r="B21" s="1" t="s">
        <v>12</v>
      </c>
      <c r="C21" s="8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f t="shared" si="0"/>
        <v>0</v>
      </c>
      <c r="J21" s="1">
        <f t="shared" si="1"/>
        <v>1</v>
      </c>
      <c r="K21" s="1">
        <f t="shared" si="2"/>
        <v>0</v>
      </c>
      <c r="L21" s="1">
        <f t="shared" si="3"/>
        <v>1</v>
      </c>
      <c r="M21" s="1">
        <f t="shared" si="4"/>
        <v>1</v>
      </c>
      <c r="N21" s="8"/>
    </row>
    <row r="22" spans="1:19" s="11" customFormat="1" ht="15" thickBot="1" x14ac:dyDescent="0.35">
      <c r="A22" s="1" t="s">
        <v>12</v>
      </c>
      <c r="B22" s="1" t="s">
        <v>8</v>
      </c>
      <c r="C22" s="8">
        <v>0</v>
      </c>
      <c r="D22" s="1">
        <v>0</v>
      </c>
      <c r="E22" s="1">
        <v>0</v>
      </c>
      <c r="F22" s="1">
        <v>1</v>
      </c>
      <c r="G22" s="1">
        <v>1</v>
      </c>
      <c r="H22" s="1">
        <v>0</v>
      </c>
      <c r="I22" s="20">
        <f t="shared" si="0"/>
        <v>0</v>
      </c>
      <c r="J22" s="20">
        <f t="shared" si="1"/>
        <v>1</v>
      </c>
      <c r="K22" s="20">
        <f t="shared" si="2"/>
        <v>1</v>
      </c>
      <c r="L22" s="20">
        <f t="shared" si="3"/>
        <v>0</v>
      </c>
      <c r="M22" s="23">
        <f t="shared" si="4"/>
        <v>0</v>
      </c>
      <c r="N22" s="8"/>
      <c r="O22" s="19"/>
      <c r="P22" s="19"/>
      <c r="Q22" s="19"/>
      <c r="R22" s="19"/>
      <c r="S22" s="19"/>
    </row>
    <row r="23" spans="1:19" s="1" customFormat="1" x14ac:dyDescent="0.3">
      <c r="A23" s="9" t="s">
        <v>8</v>
      </c>
      <c r="B23" s="9" t="s">
        <v>5</v>
      </c>
      <c r="C23" s="10">
        <v>0</v>
      </c>
      <c r="D23" s="9">
        <v>1</v>
      </c>
      <c r="E23" s="9">
        <v>0</v>
      </c>
      <c r="F23" s="9">
        <v>0</v>
      </c>
      <c r="G23" s="9">
        <v>0</v>
      </c>
      <c r="H23" s="9">
        <v>1</v>
      </c>
      <c r="I23" s="1">
        <f t="shared" si="0"/>
        <v>1</v>
      </c>
      <c r="J23" s="1">
        <f t="shared" si="1"/>
        <v>0</v>
      </c>
      <c r="K23" s="1">
        <f t="shared" si="2"/>
        <v>1</v>
      </c>
      <c r="L23" s="1">
        <f t="shared" si="3"/>
        <v>0</v>
      </c>
      <c r="M23" s="21">
        <f t="shared" si="4"/>
        <v>0</v>
      </c>
    </row>
    <row r="24" spans="1:19" s="1" customFormat="1" x14ac:dyDescent="0.3">
      <c r="A24" s="1" t="s">
        <v>8</v>
      </c>
      <c r="B24" s="1" t="s">
        <v>7</v>
      </c>
      <c r="C24" s="8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f t="shared" si="0"/>
        <v>1</v>
      </c>
      <c r="J24" s="1">
        <f t="shared" si="1"/>
        <v>0</v>
      </c>
      <c r="K24" s="1">
        <f t="shared" si="2"/>
        <v>0</v>
      </c>
      <c r="L24" s="1">
        <f t="shared" si="3"/>
        <v>0</v>
      </c>
      <c r="M24" s="22">
        <f t="shared" si="4"/>
        <v>0</v>
      </c>
    </row>
    <row r="25" spans="1:19" s="1" customFormat="1" x14ac:dyDescent="0.3">
      <c r="A25" s="1" t="s">
        <v>8</v>
      </c>
      <c r="B25" s="1" t="s">
        <v>13</v>
      </c>
      <c r="C25" s="8">
        <v>0</v>
      </c>
      <c r="D25" s="1">
        <v>1</v>
      </c>
      <c r="E25" s="1">
        <v>0</v>
      </c>
      <c r="F25" s="1">
        <v>1</v>
      </c>
      <c r="G25" s="1">
        <v>0</v>
      </c>
      <c r="H25" s="1">
        <v>0</v>
      </c>
      <c r="I25" s="1">
        <f t="shared" si="0"/>
        <v>1</v>
      </c>
      <c r="J25" s="1">
        <f t="shared" si="1"/>
        <v>1</v>
      </c>
      <c r="K25" s="1">
        <f t="shared" si="2"/>
        <v>0</v>
      </c>
      <c r="L25" s="1">
        <f t="shared" si="3"/>
        <v>0</v>
      </c>
      <c r="M25" s="22">
        <f t="shared" si="4"/>
        <v>0</v>
      </c>
    </row>
    <row r="26" spans="1:19" s="1" customFormat="1" x14ac:dyDescent="0.3">
      <c r="A26" s="1" t="s">
        <v>8</v>
      </c>
      <c r="B26" s="1" t="s">
        <v>12</v>
      </c>
      <c r="C26" s="8">
        <v>0</v>
      </c>
      <c r="D26" s="1">
        <v>1</v>
      </c>
      <c r="E26" s="1">
        <v>0</v>
      </c>
      <c r="F26" s="1">
        <v>1</v>
      </c>
      <c r="G26" s="1">
        <v>0</v>
      </c>
      <c r="H26" s="1">
        <v>0</v>
      </c>
      <c r="I26" s="1">
        <f t="shared" si="0"/>
        <v>1</v>
      </c>
      <c r="J26" s="1">
        <f t="shared" si="1"/>
        <v>1</v>
      </c>
      <c r="K26" s="1">
        <f t="shared" si="2"/>
        <v>0</v>
      </c>
      <c r="L26" s="1">
        <f t="shared" si="3"/>
        <v>0</v>
      </c>
      <c r="M26" s="22">
        <f t="shared" si="4"/>
        <v>0</v>
      </c>
    </row>
    <row r="27" spans="1:19" s="1" customFormat="1" ht="15" thickBot="1" x14ac:dyDescent="0.35">
      <c r="A27" s="11" t="s">
        <v>8</v>
      </c>
      <c r="B27" s="11" t="s">
        <v>8</v>
      </c>
      <c r="C27" s="12">
        <v>0</v>
      </c>
      <c r="D27" s="11">
        <v>1</v>
      </c>
      <c r="E27" s="11">
        <v>0</v>
      </c>
      <c r="F27" s="11">
        <v>1</v>
      </c>
      <c r="G27" s="11">
        <v>1</v>
      </c>
      <c r="H27" s="11">
        <v>0</v>
      </c>
      <c r="I27" s="11">
        <f t="shared" si="0"/>
        <v>1</v>
      </c>
      <c r="J27" s="11">
        <f t="shared" si="1"/>
        <v>1</v>
      </c>
      <c r="K27" s="11">
        <f t="shared" si="2"/>
        <v>1</v>
      </c>
      <c r="L27" s="11">
        <f t="shared" si="3"/>
        <v>0</v>
      </c>
      <c r="M27" s="23">
        <f t="shared" si="4"/>
        <v>0</v>
      </c>
    </row>
    <row r="28" spans="1:19" x14ac:dyDescent="0.3">
      <c r="C28" s="3"/>
    </row>
    <row r="29" spans="1:19" x14ac:dyDescent="0.3">
      <c r="C29" s="3"/>
    </row>
    <row r="30" spans="1:19" x14ac:dyDescent="0.3">
      <c r="C30" s="3"/>
    </row>
    <row r="31" spans="1:19" x14ac:dyDescent="0.3">
      <c r="C31" s="3"/>
    </row>
    <row r="32" spans="1:19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3" x14ac:dyDescent="0.3">
      <c r="C49" s="3"/>
    </row>
  </sheetData>
  <mergeCells count="1">
    <mergeCell ref="A1:L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coleman</dc:creator>
  <cp:lastModifiedBy>carson coleman</cp:lastModifiedBy>
  <dcterms:created xsi:type="dcterms:W3CDTF">2025-12-03T03:15:19Z</dcterms:created>
  <dcterms:modified xsi:type="dcterms:W3CDTF">2025-12-05T02:43:35Z</dcterms:modified>
</cp:coreProperties>
</file>